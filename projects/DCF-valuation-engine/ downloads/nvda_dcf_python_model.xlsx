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670" windowHeight="4635"/>
  </bookViews>
  <sheets>
    <sheet name="Assumptions" sheetId="1" r:id="rId1"/>
    <sheet name="Historical Data" sheetId="2" r:id="rId2"/>
    <sheet name="Projections" sheetId="3" r:id="rId3"/>
    <sheet name="DCF" sheetId="4" r:id="rId4"/>
    <sheet name="Sensitivity" sheetId="5" r:id="rId5"/>
    <sheet name="Charts" sheetId="6" r:id="rId6"/>
  </sheets>
  <calcPr calcId="152511"/>
</workbook>
</file>

<file path=xl/calcChain.xml><?xml version="1.0" encoding="utf-8"?>
<calcChain xmlns="http://schemas.openxmlformats.org/spreadsheetml/2006/main">
  <c r="G19" i="4" l="1"/>
  <c r="G16" i="4"/>
  <c r="B7" i="3"/>
  <c r="B6" i="3"/>
  <c r="B5" i="3"/>
  <c r="B11" i="3" s="1"/>
  <c r="C4" i="3"/>
  <c r="C7" i="3" s="1"/>
  <c r="B4" i="3"/>
  <c r="B8" i="3" s="1"/>
  <c r="L6" i="2"/>
  <c r="K6" i="2"/>
  <c r="J6" i="2"/>
  <c r="I6" i="2"/>
  <c r="G6" i="2"/>
  <c r="H6" i="2" s="1"/>
  <c r="L5" i="2"/>
  <c r="K5" i="2"/>
  <c r="J5" i="2"/>
  <c r="I5" i="2"/>
  <c r="H5" i="2"/>
  <c r="G5" i="2"/>
  <c r="L4" i="2"/>
  <c r="K4" i="2"/>
  <c r="J4" i="2"/>
  <c r="I4" i="2"/>
  <c r="G4" i="2"/>
  <c r="H4" i="2" s="1"/>
  <c r="B13" i="1"/>
  <c r="E5" i="4" s="1"/>
  <c r="B12" i="1"/>
  <c r="B11" i="1"/>
  <c r="B9" i="3" l="1"/>
  <c r="B10" i="3" s="1"/>
  <c r="F5" i="4"/>
  <c r="D4" i="3"/>
  <c r="C5" i="3"/>
  <c r="C6" i="3"/>
  <c r="D5" i="4"/>
  <c r="C8" i="3"/>
  <c r="B5" i="4"/>
  <c r="C5" i="4"/>
  <c r="C11" i="3" l="1"/>
  <c r="C9" i="3"/>
  <c r="C10" i="3" s="1"/>
  <c r="C4" i="4" s="1"/>
  <c r="C6" i="4" s="1"/>
  <c r="D6" i="3"/>
  <c r="D5" i="3"/>
  <c r="E4" i="3"/>
  <c r="D8" i="3"/>
  <c r="D7" i="3"/>
  <c r="B4" i="4"/>
  <c r="B6" i="4" s="1"/>
  <c r="D11" i="3" l="1"/>
  <c r="D9" i="3"/>
  <c r="D10" i="3" s="1"/>
  <c r="E5" i="3"/>
  <c r="F4" i="3"/>
  <c r="E7" i="3"/>
  <c r="E6" i="3"/>
  <c r="E8" i="3"/>
  <c r="E9" i="3" l="1"/>
  <c r="E10" i="3" s="1"/>
  <c r="E4" i="4" s="1"/>
  <c r="E6" i="4" s="1"/>
  <c r="E11" i="3"/>
  <c r="D4" i="4"/>
  <c r="D6" i="4" s="1"/>
  <c r="F8" i="3"/>
  <c r="F7" i="3"/>
  <c r="F6" i="3"/>
  <c r="F5" i="3"/>
  <c r="F9" i="3" l="1"/>
  <c r="F10" i="3" s="1"/>
  <c r="F11" i="3"/>
  <c r="G12" i="4" s="1"/>
  <c r="G13" i="4" s="1"/>
  <c r="F4" i="4" l="1"/>
  <c r="B7" i="5"/>
  <c r="B9" i="5"/>
  <c r="B8" i="5"/>
  <c r="B15" i="5"/>
  <c r="D18" i="5"/>
  <c r="D15" i="5"/>
  <c r="C15" i="5"/>
  <c r="C9" i="5"/>
  <c r="D8" i="5"/>
  <c r="D7" i="5"/>
  <c r="B16" i="5"/>
  <c r="C6" i="5"/>
  <c r="B17" i="5"/>
  <c r="C8" i="5"/>
  <c r="D16" i="5"/>
  <c r="B6" i="5"/>
  <c r="D17" i="5"/>
  <c r="D9" i="5"/>
  <c r="D6" i="5"/>
  <c r="C7" i="5"/>
  <c r="C17" i="5"/>
  <c r="C18" i="5"/>
  <c r="B18" i="5"/>
  <c r="C16" i="5"/>
  <c r="G8" i="4" l="1"/>
  <c r="G9" i="4" s="1"/>
  <c r="G10" i="4" s="1"/>
  <c r="F6" i="4"/>
  <c r="G6" i="4" s="1"/>
  <c r="G11" i="4" l="1"/>
  <c r="G17" i="4" s="1"/>
  <c r="G20" i="4" s="1"/>
  <c r="G14" i="4"/>
  <c r="G18" i="4" s="1"/>
  <c r="G21" i="4" s="1"/>
</calcChain>
</file>

<file path=xl/sharedStrings.xml><?xml version="1.0" encoding="utf-8"?>
<sst xmlns="http://schemas.openxmlformats.org/spreadsheetml/2006/main" count="91" uniqueCount="76">
  <si>
    <t>NVIDIA (NVDA) Discounted Cash Flow Model</t>
  </si>
  <si>
    <t>WACC Assumptions</t>
  </si>
  <si>
    <t>Risk-free rate</t>
  </si>
  <si>
    <t>Beta</t>
  </si>
  <si>
    <t>Equity risk premium</t>
  </si>
  <si>
    <t>Cost of debt (pre-tax)</t>
  </si>
  <si>
    <t>Tax rate</t>
  </si>
  <si>
    <t>Equity weight</t>
  </si>
  <si>
    <t>Debt weight</t>
  </si>
  <si>
    <t>Cost of equity</t>
  </si>
  <si>
    <t>Cost of debt (after tax)</t>
  </si>
  <si>
    <t>WACC</t>
  </si>
  <si>
    <t>Forecast Assumptions</t>
  </si>
  <si>
    <t>Base year revenue (FY2025, m)</t>
  </si>
  <si>
    <t>Year</t>
  </si>
  <si>
    <t>2026</t>
  </si>
  <si>
    <t>2027</t>
  </si>
  <si>
    <t>2028</t>
  </si>
  <si>
    <t>2029</t>
  </si>
  <si>
    <t>2030</t>
  </si>
  <si>
    <t>Revenue growth</t>
  </si>
  <si>
    <t>EBIT margin</t>
  </si>
  <si>
    <t>D&amp;A ratio</t>
  </si>
  <si>
    <t>CapEx ratio</t>
  </si>
  <si>
    <t>Working capital ratio</t>
  </si>
  <si>
    <t>Terminal assumptions</t>
  </si>
  <si>
    <t>Terminal growth rate</t>
  </si>
  <si>
    <t>Exit EBITDA multiple (base)</t>
  </si>
  <si>
    <t>Net cash (m)</t>
  </si>
  <si>
    <t>Shares outstanding (m)</t>
  </si>
  <si>
    <t>Historical Financial Data</t>
  </si>
  <si>
    <t>Revenue (m)</t>
  </si>
  <si>
    <t>EBIT (m)</t>
  </si>
  <si>
    <t>D&amp;A (m)</t>
  </si>
  <si>
    <t>CapEx (m)</t>
  </si>
  <si>
    <t>WC change (m)</t>
  </si>
  <si>
    <t>NOPAT (m)</t>
  </si>
  <si>
    <t>FCF (m)</t>
  </si>
  <si>
    <t>EBIT Margin</t>
  </si>
  <si>
    <t>D&amp;A/Rev</t>
  </si>
  <si>
    <t>CapEx/Rev</t>
  </si>
  <si>
    <t>WC/Rev</t>
  </si>
  <si>
    <t>FY2023</t>
  </si>
  <si>
    <t>FY2024</t>
  </si>
  <si>
    <t>FY2025</t>
  </si>
  <si>
    <t>Financial Projections</t>
  </si>
  <si>
    <t>Free cash flow (m)</t>
  </si>
  <si>
    <t>EBITDA (m)</t>
  </si>
  <si>
    <t>DCF Valuation</t>
  </si>
  <si>
    <t>Discount factor</t>
  </si>
  <si>
    <t>PV of FCF (m)</t>
  </si>
  <si>
    <t>Terminal FCF (m)</t>
  </si>
  <si>
    <t>Terminal value (Gordon, m)</t>
  </si>
  <si>
    <t>PV Terminal (Gordon, m)</t>
  </si>
  <si>
    <t>Enterprise value (Gordon, m)</t>
  </si>
  <si>
    <t>Terminal value (Exit, m)</t>
  </si>
  <si>
    <t>PV Terminal (Exit, m)</t>
  </si>
  <si>
    <t>Enterprise value (Exit, m)</t>
  </si>
  <si>
    <t>Equity value (Gordon, m)</t>
  </si>
  <si>
    <t>Equity value (Exit, m)</t>
  </si>
  <si>
    <t>Value per share (Gordon)</t>
  </si>
  <si>
    <t>Value per share (Exit)</t>
  </si>
  <si>
    <t>Sensitivity Analysis</t>
  </si>
  <si>
    <t>WACC vs Terminal Growth (Value per share)</t>
  </si>
  <si>
    <t>g = 2%</t>
  </si>
  <si>
    <t>g = 3%</t>
  </si>
  <si>
    <t>g = 4%</t>
  </si>
  <si>
    <t>WACC = 13%</t>
  </si>
  <si>
    <t>WACC = 14%</t>
  </si>
  <si>
    <t>WACC = 15%</t>
  </si>
  <si>
    <t>WACC = 16%</t>
  </si>
  <si>
    <t>WACC vs Exit Multiple (Value per share)</t>
  </si>
  <si>
    <t>30x</t>
  </si>
  <si>
    <t>35x</t>
  </si>
  <si>
    <t>40x</t>
  </si>
  <si>
    <t>Forecasted Revenue and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</si>
</sst>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and Free Cash Flow Projections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Projections!$B$4:$F$4</c:f>
              <c:numCache>
                <c:formatCode>#,##0</c:formatCode>
                <c:ptCount val="5"/>
                <c:pt idx="0">
                  <c:v>195745.5</c:v>
                </c:pt>
                <c:pt idx="1">
                  <c:v>254469.15</c:v>
                </c:pt>
                <c:pt idx="2">
                  <c:v>305362.98</c:v>
                </c:pt>
                <c:pt idx="3">
                  <c:v>335899.27799999999</c:v>
                </c:pt>
                <c:pt idx="4">
                  <c:v>352694.24190000002</c:v>
                </c:pt>
              </c:numCache>
            </c:numRef>
          </c:cat>
          <c:val>
            <c:numRef>
              <c:f>Projections!$B$5:$F$5</c:f>
              <c:numCache>
                <c:formatCode>#,##0</c:formatCode>
                <c:ptCount val="5"/>
                <c:pt idx="0">
                  <c:v>117447.3</c:v>
                </c:pt>
                <c:pt idx="1">
                  <c:v>139958.0325</c:v>
                </c:pt>
                <c:pt idx="2">
                  <c:v>152681.49</c:v>
                </c:pt>
                <c:pt idx="3">
                  <c:v>151154.67509999999</c:v>
                </c:pt>
                <c:pt idx="4">
                  <c:v>141077.69676000002</c:v>
                </c:pt>
              </c:numCache>
            </c:numRef>
          </c:val>
          <c:smooth val="0"/>
        </c:ser>
        <c:ser>
          <c:idx val="1"/>
          <c:order val="1"/>
          <c:tx>
            <c:v>Free cash flow</c:v>
          </c:tx>
          <c:marker>
            <c:symbol val="none"/>
          </c:marker>
          <c:cat>
            <c:numRef>
              <c:f>Projections!$B$4:$F$4</c:f>
              <c:numCache>
                <c:formatCode>#,##0</c:formatCode>
                <c:ptCount val="5"/>
                <c:pt idx="0">
                  <c:v>195745.5</c:v>
                </c:pt>
                <c:pt idx="1">
                  <c:v>254469.15</c:v>
                </c:pt>
                <c:pt idx="2">
                  <c:v>305362.98</c:v>
                </c:pt>
                <c:pt idx="3">
                  <c:v>335899.27799999999</c:v>
                </c:pt>
                <c:pt idx="4">
                  <c:v>352694.24190000002</c:v>
                </c:pt>
              </c:numCache>
            </c:numRef>
          </c:cat>
          <c:val>
            <c:numRef>
              <c:f>Projections!$B$10:$F$10</c:f>
              <c:numCache>
                <c:formatCode>#,##0</c:formatCode>
                <c:ptCount val="5"/>
                <c:pt idx="0">
                  <c:v>110204.71649999999</c:v>
                </c:pt>
                <c:pt idx="1">
                  <c:v>132196.72342499997</c:v>
                </c:pt>
                <c:pt idx="2">
                  <c:v>143825.96357999998</c:v>
                </c:pt>
                <c:pt idx="3">
                  <c:v>143596.94134499997</c:v>
                </c:pt>
                <c:pt idx="4">
                  <c:v>133671.11768010003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064480"/>
        <c:axId val="775066656"/>
      </c:lineChart>
      <c:catAx>
        <c:axId val="77506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775066656"/>
        <c:crosses val="autoZero"/>
        <c:auto val="1"/>
        <c:lblAlgn val="ctr"/>
        <c:lblOffset val="100"/>
        <c:noMultiLvlLbl val="0"/>
      </c:catAx>
      <c:valAx>
        <c:axId val="775066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(m)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77506448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95250</xdr:rowOff>
    </xdr:from>
    <xdr:to>
      <xdr:col>3</xdr:col>
      <xdr:colOff>390525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C28" sqref="C28"/>
    </sheetView>
  </sheetViews>
  <sheetFormatPr defaultRowHeight="15" x14ac:dyDescent="0.25"/>
  <cols>
    <col min="1" max="1" width="28.7109375" customWidth="1"/>
    <col min="2" max="26" width="17.7109375" customWidth="1"/>
  </cols>
  <sheetData>
    <row r="1" spans="1:6" ht="18.75" x14ac:dyDescent="0.3">
      <c r="A1" s="9" t="s">
        <v>0</v>
      </c>
      <c r="B1" s="9"/>
      <c r="C1" s="9"/>
      <c r="D1" s="9"/>
      <c r="E1" s="9"/>
      <c r="F1" s="9"/>
    </row>
    <row r="3" spans="1:6" ht="15.75" x14ac:dyDescent="0.25">
      <c r="A3" s="2" t="s">
        <v>1</v>
      </c>
    </row>
    <row r="4" spans="1:6" x14ac:dyDescent="0.25">
      <c r="A4" t="s">
        <v>2</v>
      </c>
      <c r="B4" s="3">
        <v>0.04</v>
      </c>
    </row>
    <row r="5" spans="1:6" x14ac:dyDescent="0.25">
      <c r="A5" t="s">
        <v>3</v>
      </c>
      <c r="B5" s="3">
        <v>2.27</v>
      </c>
    </row>
    <row r="6" spans="1:6" x14ac:dyDescent="0.25">
      <c r="A6" t="s">
        <v>4</v>
      </c>
      <c r="B6" s="3">
        <v>0.05</v>
      </c>
    </row>
    <row r="7" spans="1:6" x14ac:dyDescent="0.25">
      <c r="A7" t="s">
        <v>5</v>
      </c>
      <c r="B7" s="3">
        <v>0.03</v>
      </c>
    </row>
    <row r="8" spans="1:6" x14ac:dyDescent="0.25">
      <c r="A8" t="s">
        <v>6</v>
      </c>
      <c r="B8" s="3">
        <v>0.15</v>
      </c>
    </row>
    <row r="9" spans="1:6" x14ac:dyDescent="0.25">
      <c r="A9" t="s">
        <v>7</v>
      </c>
      <c r="B9" s="3">
        <v>0.95</v>
      </c>
    </row>
    <row r="10" spans="1:6" x14ac:dyDescent="0.25">
      <c r="A10" t="s">
        <v>8</v>
      </c>
      <c r="B10" s="3">
        <v>0.05</v>
      </c>
    </row>
    <row r="11" spans="1:6" x14ac:dyDescent="0.25">
      <c r="A11" t="s">
        <v>9</v>
      </c>
      <c r="B11" s="4">
        <f>B4 + B5*B6</f>
        <v>0.1535</v>
      </c>
    </row>
    <row r="12" spans="1:6" x14ac:dyDescent="0.25">
      <c r="A12" t="s">
        <v>10</v>
      </c>
      <c r="B12" s="4">
        <f>B7*(1 - B8)</f>
        <v>2.5499999999999998E-2</v>
      </c>
    </row>
    <row r="13" spans="1:6" x14ac:dyDescent="0.25">
      <c r="A13" t="s">
        <v>11</v>
      </c>
      <c r="B13" s="4">
        <f>B9*B11 + B10*B12</f>
        <v>0.14709999999999998</v>
      </c>
    </row>
    <row r="15" spans="1:6" ht="15.75" x14ac:dyDescent="0.25">
      <c r="A15" s="2" t="s">
        <v>12</v>
      </c>
    </row>
    <row r="16" spans="1:6" x14ac:dyDescent="0.25">
      <c r="A16" t="s">
        <v>13</v>
      </c>
      <c r="B16" s="3">
        <v>130497</v>
      </c>
    </row>
    <row r="17" spans="1:6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</row>
    <row r="18" spans="1:6" x14ac:dyDescent="0.25">
      <c r="A18" t="s">
        <v>20</v>
      </c>
      <c r="B18" s="3">
        <v>0.5</v>
      </c>
      <c r="C18" s="3">
        <v>0.3</v>
      </c>
      <c r="D18" s="3">
        <v>0.2</v>
      </c>
      <c r="E18" s="3">
        <v>0.1</v>
      </c>
      <c r="F18" s="3">
        <v>0.05</v>
      </c>
    </row>
    <row r="19" spans="1:6" x14ac:dyDescent="0.25">
      <c r="A19" t="s">
        <v>21</v>
      </c>
      <c r="B19" s="3">
        <v>0.6</v>
      </c>
      <c r="C19" s="3">
        <v>0.55000000000000004</v>
      </c>
      <c r="D19" s="3">
        <v>0.5</v>
      </c>
      <c r="E19" s="3">
        <v>0.45</v>
      </c>
      <c r="F19" s="3">
        <v>0.4</v>
      </c>
    </row>
    <row r="20" spans="1:6" x14ac:dyDescent="0.25">
      <c r="A20" t="s">
        <v>22</v>
      </c>
      <c r="B20" s="3">
        <v>1.2999999999999999E-2</v>
      </c>
      <c r="C20" s="3">
        <v>1.2E-2</v>
      </c>
      <c r="D20" s="3">
        <v>1.0999999999999999E-2</v>
      </c>
      <c r="E20" s="3">
        <v>0.01</v>
      </c>
      <c r="F20" s="3">
        <v>8.9999999999999993E-3</v>
      </c>
    </row>
    <row r="21" spans="1:6" x14ac:dyDescent="0.25">
      <c r="A21" t="s">
        <v>23</v>
      </c>
      <c r="B21" s="3">
        <v>0.03</v>
      </c>
      <c r="C21" s="3">
        <v>0.03</v>
      </c>
      <c r="D21" s="3">
        <v>3.5000000000000003E-2</v>
      </c>
      <c r="E21" s="3">
        <v>3.5000000000000003E-2</v>
      </c>
      <c r="F21" s="3">
        <v>0.04</v>
      </c>
    </row>
    <row r="22" spans="1:6" x14ac:dyDescent="0.25">
      <c r="A22" t="s">
        <v>24</v>
      </c>
      <c r="B22" s="3">
        <v>-7.0000000000000007E-2</v>
      </c>
      <c r="C22" s="3">
        <v>-7.0000000000000007E-2</v>
      </c>
      <c r="D22" s="3">
        <v>-7.0000000000000007E-2</v>
      </c>
      <c r="E22" s="3">
        <v>-7.0000000000000007E-2</v>
      </c>
      <c r="F22" s="3">
        <v>-7.0000000000000007E-2</v>
      </c>
    </row>
    <row r="24" spans="1:6" ht="15.75" x14ac:dyDescent="0.25">
      <c r="A24" s="2" t="s">
        <v>25</v>
      </c>
    </row>
    <row r="25" spans="1:6" x14ac:dyDescent="0.25">
      <c r="A25" t="s">
        <v>26</v>
      </c>
      <c r="B25" s="3">
        <v>0.03</v>
      </c>
    </row>
    <row r="26" spans="1:6" x14ac:dyDescent="0.25">
      <c r="A26" t="s">
        <v>27</v>
      </c>
      <c r="B26" s="3">
        <v>35</v>
      </c>
    </row>
    <row r="28" spans="1:6" x14ac:dyDescent="0.25">
      <c r="A28" t="s">
        <v>28</v>
      </c>
      <c r="B28" s="3">
        <v>52133</v>
      </c>
    </row>
    <row r="29" spans="1:6" x14ac:dyDescent="0.25">
      <c r="A29" t="s">
        <v>29</v>
      </c>
      <c r="B29" s="3">
        <v>24305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cols>
    <col min="1" max="1" width="28.7109375" customWidth="1"/>
    <col min="2" max="26" width="17.7109375" customWidth="1"/>
  </cols>
  <sheetData>
    <row r="1" spans="1:12" ht="18.75" x14ac:dyDescent="0.3">
      <c r="A1" s="1" t="s">
        <v>30</v>
      </c>
    </row>
    <row r="3" spans="1:12" ht="15.75" x14ac:dyDescent="0.25">
      <c r="A3" s="2" t="s">
        <v>14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</row>
    <row r="4" spans="1:12" x14ac:dyDescent="0.25">
      <c r="A4" t="s">
        <v>42</v>
      </c>
      <c r="B4" s="5">
        <v>26974</v>
      </c>
      <c r="C4" s="5">
        <v>4224</v>
      </c>
      <c r="D4" s="5">
        <v>1544</v>
      </c>
      <c r="E4" s="5">
        <v>1833</v>
      </c>
      <c r="F4" s="5">
        <v>-2459</v>
      </c>
      <c r="G4" s="5">
        <f>C4*(1 - Assumptions!$B$8)</f>
        <v>3590.4</v>
      </c>
      <c r="H4" s="5">
        <f>G4 + D4 - E4 - F4</f>
        <v>5760.4</v>
      </c>
      <c r="I4" s="4">
        <f>C4/B4</f>
        <v>0.1565952398606065</v>
      </c>
      <c r="J4" s="4">
        <f>D4/B4</f>
        <v>5.7240305479350488E-2</v>
      </c>
      <c r="K4" s="4">
        <f>E4/B4</f>
        <v>6.7954326388373995E-2</v>
      </c>
      <c r="L4" s="4">
        <f>F4/B4</f>
        <v>-9.116185956847335E-2</v>
      </c>
    </row>
    <row r="5" spans="1:12" x14ac:dyDescent="0.25">
      <c r="A5" t="s">
        <v>43</v>
      </c>
      <c r="B5" s="5">
        <v>60922</v>
      </c>
      <c r="C5" s="5">
        <v>32972</v>
      </c>
      <c r="D5" s="5">
        <v>1508</v>
      </c>
      <c r="E5" s="5">
        <v>1069</v>
      </c>
      <c r="F5" s="5">
        <v>-4236</v>
      </c>
      <c r="G5" s="5">
        <f>C5*(1 - Assumptions!$B$8)</f>
        <v>28026.2</v>
      </c>
      <c r="H5" s="5">
        <f>G5 + D5 - E5 - F5</f>
        <v>32701.200000000001</v>
      </c>
      <c r="I5" s="4">
        <f>C5/B5</f>
        <v>0.54121663766783756</v>
      </c>
      <c r="J5" s="4">
        <f>D5/B5</f>
        <v>2.4752962804898065E-2</v>
      </c>
      <c r="K5" s="4">
        <f>E5/B5</f>
        <v>1.7547027346442992E-2</v>
      </c>
      <c r="L5" s="4">
        <f>F5/B5</f>
        <v>-6.9531532123042583E-2</v>
      </c>
    </row>
    <row r="6" spans="1:12" x14ac:dyDescent="0.25">
      <c r="A6" t="s">
        <v>44</v>
      </c>
      <c r="B6" s="5">
        <v>130497</v>
      </c>
      <c r="C6" s="5">
        <v>81453</v>
      </c>
      <c r="D6" s="5">
        <v>1864</v>
      </c>
      <c r="E6" s="5">
        <v>3236</v>
      </c>
      <c r="F6" s="5">
        <v>-10604</v>
      </c>
      <c r="G6" s="5">
        <f>C6*(1 - Assumptions!$B$8)</f>
        <v>69235.05</v>
      </c>
      <c r="H6" s="5">
        <f>G6 + D6 - E6 - F6</f>
        <v>78467.05</v>
      </c>
      <c r="I6" s="4">
        <f>C6/B6</f>
        <v>0.62417526839697468</v>
      </c>
      <c r="J6" s="4">
        <f>D6/B6</f>
        <v>1.4283853268657517E-2</v>
      </c>
      <c r="K6" s="4">
        <f>E6/B6</f>
        <v>2.4797504923484832E-2</v>
      </c>
      <c r="L6" s="4">
        <f>F6/B6</f>
        <v>-8.1258572994015191E-2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4" sqref="D4"/>
    </sheetView>
  </sheetViews>
  <sheetFormatPr defaultRowHeight="15" x14ac:dyDescent="0.25"/>
  <cols>
    <col min="1" max="1" width="28.7109375" customWidth="1"/>
    <col min="2" max="26" width="17.7109375" customWidth="1"/>
  </cols>
  <sheetData>
    <row r="1" spans="1:6" ht="18.75" x14ac:dyDescent="0.3">
      <c r="A1" s="1" t="s">
        <v>45</v>
      </c>
    </row>
    <row r="3" spans="1:6" ht="15.75" x14ac:dyDescent="0.25">
      <c r="A3" s="2" t="s">
        <v>14</v>
      </c>
    </row>
    <row r="4" spans="1:6" x14ac:dyDescent="0.25">
      <c r="A4" t="s">
        <v>31</v>
      </c>
      <c r="B4" s="5">
        <f>Assumptions!B16*(1+Assumptions!B18)</f>
        <v>195745.5</v>
      </c>
      <c r="C4" s="5">
        <f>B4*(1+Assumptions!C18)</f>
        <v>254469.15</v>
      </c>
      <c r="D4" s="5">
        <f>C4*(1+Assumptions!D18)</f>
        <v>305362.98</v>
      </c>
      <c r="E4" s="5">
        <f>D4*(1+Assumptions!E18)</f>
        <v>335899.27799999999</v>
      </c>
      <c r="F4" s="5">
        <f>E4*(1+Assumptions!F18)</f>
        <v>352694.24190000002</v>
      </c>
    </row>
    <row r="5" spans="1:6" x14ac:dyDescent="0.25">
      <c r="A5" t="s">
        <v>32</v>
      </c>
      <c r="B5" s="5">
        <f>B4*Assumptions!B19</f>
        <v>117447.3</v>
      </c>
      <c r="C5" s="5">
        <f>C4*Assumptions!C19</f>
        <v>139958.0325</v>
      </c>
      <c r="D5" s="5">
        <f>D4*Assumptions!D19</f>
        <v>152681.49</v>
      </c>
      <c r="E5" s="5">
        <f>E4*Assumptions!E19</f>
        <v>151154.67509999999</v>
      </c>
      <c r="F5" s="5">
        <f>F4*Assumptions!F19</f>
        <v>141077.69676000002</v>
      </c>
    </row>
    <row r="6" spans="1:6" x14ac:dyDescent="0.25">
      <c r="A6" t="s">
        <v>33</v>
      </c>
      <c r="B6" s="5">
        <f>B4*Assumptions!B20</f>
        <v>2544.6914999999999</v>
      </c>
      <c r="C6" s="5">
        <f>C4*Assumptions!C20</f>
        <v>3053.6298000000002</v>
      </c>
      <c r="D6" s="5">
        <f>D4*Assumptions!D20</f>
        <v>3358.9927799999996</v>
      </c>
      <c r="E6" s="5">
        <f>E4*Assumptions!E20</f>
        <v>3358.99278</v>
      </c>
      <c r="F6" s="5">
        <f>F4*Assumptions!F20</f>
        <v>3174.2481770999998</v>
      </c>
    </row>
    <row r="7" spans="1:6" x14ac:dyDescent="0.25">
      <c r="A7" t="s">
        <v>34</v>
      </c>
      <c r="B7" s="5">
        <f>B4*Assumptions!B21</f>
        <v>5872.3649999999998</v>
      </c>
      <c r="C7" s="5">
        <f>C4*Assumptions!C21</f>
        <v>7634.0744999999997</v>
      </c>
      <c r="D7" s="5">
        <f>D4*Assumptions!D21</f>
        <v>10687.704300000001</v>
      </c>
      <c r="E7" s="5">
        <f>E4*Assumptions!E21</f>
        <v>11756.47473</v>
      </c>
      <c r="F7" s="5">
        <f>F4*Assumptions!F21</f>
        <v>14107.769676000002</v>
      </c>
    </row>
    <row r="8" spans="1:6" x14ac:dyDescent="0.25">
      <c r="A8" t="s">
        <v>35</v>
      </c>
      <c r="B8" s="5">
        <f>B4*Assumptions!B22</f>
        <v>-13702.185000000001</v>
      </c>
      <c r="C8" s="5">
        <f>C4*Assumptions!C22</f>
        <v>-17812.840500000002</v>
      </c>
      <c r="D8" s="5">
        <f>D4*Assumptions!D22</f>
        <v>-21375.408600000002</v>
      </c>
      <c r="E8" s="5">
        <f>E4*Assumptions!E22</f>
        <v>-23512.94946</v>
      </c>
      <c r="F8" s="5">
        <f>F4*Assumptions!F22</f>
        <v>-24688.596933000004</v>
      </c>
    </row>
    <row r="9" spans="1:6" x14ac:dyDescent="0.25">
      <c r="A9" t="s">
        <v>36</v>
      </c>
      <c r="B9" s="5">
        <f>B5*(1 - Assumptions!$B$8)</f>
        <v>99830.205000000002</v>
      </c>
      <c r="C9" s="5">
        <f>C5*(1 - Assumptions!$B$8)</f>
        <v>118964.32762499999</v>
      </c>
      <c r="D9" s="5">
        <f>D5*(1 - Assumptions!$B$8)</f>
        <v>129779.26649999998</v>
      </c>
      <c r="E9" s="5">
        <f>E5*(1 - Assumptions!$B$8)</f>
        <v>128481.473835</v>
      </c>
      <c r="F9" s="5">
        <f>F5*(1 - Assumptions!$B$8)</f>
        <v>119916.04224600001</v>
      </c>
    </row>
    <row r="10" spans="1:6" x14ac:dyDescent="0.25">
      <c r="A10" t="s">
        <v>46</v>
      </c>
      <c r="B10" s="5">
        <f>B9 + B6 - B7 - B8</f>
        <v>110204.71649999999</v>
      </c>
      <c r="C10" s="5">
        <f>C9 + C6 - C7 - C8</f>
        <v>132196.72342499997</v>
      </c>
      <c r="D10" s="5">
        <f>D9 + D6 - D7 - D8</f>
        <v>143825.96357999998</v>
      </c>
      <c r="E10" s="5">
        <f>E9 + E6 - E7 - E8</f>
        <v>143596.94134499997</v>
      </c>
      <c r="F10" s="5">
        <f>F9 + F6 - F7 - F8</f>
        <v>133671.11768010003</v>
      </c>
    </row>
    <row r="11" spans="1:6" x14ac:dyDescent="0.25">
      <c r="A11" t="s">
        <v>47</v>
      </c>
      <c r="B11" s="5">
        <f>B5 + B6</f>
        <v>119991.9915</v>
      </c>
      <c r="C11" s="5">
        <f>C5 + C6</f>
        <v>143011.6623</v>
      </c>
      <c r="D11" s="5">
        <f>D5 + D6</f>
        <v>156040.48277999999</v>
      </c>
      <c r="E11" s="5">
        <f>E5 + E6</f>
        <v>154513.66787999999</v>
      </c>
      <c r="F11" s="5">
        <f>F5 + F6</f>
        <v>144251.94493710002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G21" sqref="G21"/>
    </sheetView>
  </sheetViews>
  <sheetFormatPr defaultRowHeight="15" x14ac:dyDescent="0.25"/>
  <cols>
    <col min="1" max="1" width="28.7109375" customWidth="1"/>
    <col min="2" max="26" width="17.7109375" customWidth="1"/>
  </cols>
  <sheetData>
    <row r="1" spans="1:7" ht="18.75" x14ac:dyDescent="0.3">
      <c r="A1" s="1" t="s">
        <v>48</v>
      </c>
    </row>
    <row r="4" spans="1:7" x14ac:dyDescent="0.25">
      <c r="A4" t="s">
        <v>37</v>
      </c>
      <c r="B4" s="5">
        <f>Projections!B10</f>
        <v>110204.71649999999</v>
      </c>
      <c r="C4" s="5">
        <f>Projections!C10</f>
        <v>132196.72342499997</v>
      </c>
      <c r="D4" s="5">
        <f>Projections!D10</f>
        <v>143825.96357999998</v>
      </c>
      <c r="E4" s="5">
        <f>Projections!E10</f>
        <v>143596.94134499997</v>
      </c>
      <c r="F4" s="5">
        <f>Projections!F10</f>
        <v>133671.11768010003</v>
      </c>
    </row>
    <row r="5" spans="1:7" x14ac:dyDescent="0.25">
      <c r="A5" t="s">
        <v>49</v>
      </c>
      <c r="B5" s="5">
        <f>1/(1+Assumptions!$B$13)^1</f>
        <v>0.87176357771772295</v>
      </c>
      <c r="C5" s="5">
        <f>1/(1+Assumptions!$B$13)^2</f>
        <v>0.75997173543520435</v>
      </c>
      <c r="D5" s="5">
        <f>1/(1+Assumptions!$B$13)^3</f>
        <v>0.66251567904734054</v>
      </c>
      <c r="E5" s="5">
        <f>1/(1+Assumptions!$B$13)^4</f>
        <v>0.5775570386603962</v>
      </c>
      <c r="F5" s="5">
        <f>1/(1+Assumptions!$B$13)^5</f>
        <v>0.50349319035864026</v>
      </c>
    </row>
    <row r="6" spans="1:7" x14ac:dyDescent="0.25">
      <c r="A6" t="s">
        <v>50</v>
      </c>
      <c r="B6" s="5">
        <f>B4*B5</f>
        <v>96072.457937407366</v>
      </c>
      <c r="C6" s="5">
        <f>C4*C5</f>
        <v>100465.77332014496</v>
      </c>
      <c r="D6" s="5">
        <f>D4*D5</f>
        <v>95286.955925841758</v>
      </c>
      <c r="E6" s="5">
        <f>E4*E5</f>
        <v>82935.424203908799</v>
      </c>
      <c r="F6" s="5">
        <f>F4*F5</f>
        <v>67302.497499558813</v>
      </c>
      <c r="G6" s="5">
        <f>SUM(B6:F6)</f>
        <v>442063.10888686171</v>
      </c>
    </row>
    <row r="8" spans="1:7" x14ac:dyDescent="0.25">
      <c r="A8" t="s">
        <v>51</v>
      </c>
      <c r="G8" s="5">
        <f>F4*(1+Assumptions!$B$25)</f>
        <v>137681.25121050302</v>
      </c>
    </row>
    <row r="9" spans="1:7" x14ac:dyDescent="0.25">
      <c r="A9" t="s">
        <v>52</v>
      </c>
      <c r="G9" s="5">
        <f>G8/(Assumptions!$B$13 - Assumptions!$B$25)</f>
        <v>1175757.9095687706</v>
      </c>
    </row>
    <row r="10" spans="1:7" x14ac:dyDescent="0.25">
      <c r="A10" t="s">
        <v>53</v>
      </c>
      <c r="G10" s="5">
        <f>G9 * F5</f>
        <v>591986.10097818589</v>
      </c>
    </row>
    <row r="11" spans="1:7" x14ac:dyDescent="0.25">
      <c r="A11" t="s">
        <v>54</v>
      </c>
      <c r="G11" s="5">
        <f>G6 + G10</f>
        <v>1034049.2098650476</v>
      </c>
    </row>
    <row r="12" spans="1:7" x14ac:dyDescent="0.25">
      <c r="A12" t="s">
        <v>55</v>
      </c>
      <c r="G12" s="5">
        <f>Projections!F11 * Assumptions!$B$26</f>
        <v>5048818.0727985008</v>
      </c>
    </row>
    <row r="13" spans="1:7" x14ac:dyDescent="0.25">
      <c r="A13" t="s">
        <v>56</v>
      </c>
      <c r="G13" s="5">
        <f>G12 * F5</f>
        <v>2542045.5190136787</v>
      </c>
    </row>
    <row r="14" spans="1:7" x14ac:dyDescent="0.25">
      <c r="A14" t="s">
        <v>57</v>
      </c>
      <c r="G14" s="5">
        <f>G6 + G13</f>
        <v>2984108.6279005404</v>
      </c>
    </row>
    <row r="16" spans="1:7" x14ac:dyDescent="0.25">
      <c r="A16" t="s">
        <v>28</v>
      </c>
      <c r="G16" s="5">
        <f>Assumptions!B28</f>
        <v>52133</v>
      </c>
    </row>
    <row r="17" spans="1:7" x14ac:dyDescent="0.25">
      <c r="A17" t="s">
        <v>58</v>
      </c>
      <c r="G17" s="5">
        <f>G11 + G16</f>
        <v>1086182.2098650476</v>
      </c>
    </row>
    <row r="18" spans="1:7" x14ac:dyDescent="0.25">
      <c r="A18" t="s">
        <v>59</v>
      </c>
      <c r="G18" s="5">
        <f>G14 + G16</f>
        <v>3036241.6279005404</v>
      </c>
    </row>
    <row r="19" spans="1:7" x14ac:dyDescent="0.25">
      <c r="A19" t="s">
        <v>29</v>
      </c>
      <c r="G19" s="5">
        <f>Assumptions!B29</f>
        <v>24305</v>
      </c>
    </row>
    <row r="20" spans="1:7" x14ac:dyDescent="0.25">
      <c r="A20" t="s">
        <v>60</v>
      </c>
      <c r="G20" s="6">
        <f>G17/G19</f>
        <v>44.689660969555547</v>
      </c>
    </row>
    <row r="21" spans="1:7" x14ac:dyDescent="0.25">
      <c r="A21" t="s">
        <v>61</v>
      </c>
      <c r="G21" s="6">
        <f>G18/G19</f>
        <v>124.9225109195861</v>
      </c>
    </row>
    <row r="29" spans="1:7" ht="15.75" x14ac:dyDescent="0.25">
      <c r="F29" s="7"/>
    </row>
    <row r="30" spans="1:7" ht="15.75" x14ac:dyDescent="0.25">
      <c r="F30" s="8"/>
    </row>
    <row r="31" spans="1:7" ht="15.75" x14ac:dyDescent="0.25">
      <c r="F31" s="7"/>
    </row>
    <row r="32" spans="1:7" ht="15.75" x14ac:dyDescent="0.25">
      <c r="C32" s="7"/>
      <c r="F32" s="8"/>
    </row>
    <row r="33" spans="3:6" ht="15.75" x14ac:dyDescent="0.25">
      <c r="C33" s="7"/>
      <c r="F33" s="7"/>
    </row>
    <row r="34" spans="3:6" ht="15.75" x14ac:dyDescent="0.25">
      <c r="C34" s="7"/>
      <c r="F34" s="8"/>
    </row>
    <row r="35" spans="3:6" ht="15.75" x14ac:dyDescent="0.25">
      <c r="C35" s="7"/>
      <c r="F35" s="7"/>
    </row>
    <row r="36" spans="3:6" ht="15.75" x14ac:dyDescent="0.25">
      <c r="C36" s="7"/>
      <c r="F36" s="8"/>
    </row>
    <row r="37" spans="3:6" ht="15.75" x14ac:dyDescent="0.25">
      <c r="C37" s="7"/>
      <c r="F37" s="7"/>
    </row>
    <row r="38" spans="3:6" ht="15.75" x14ac:dyDescent="0.25">
      <c r="F38" s="8"/>
    </row>
    <row r="39" spans="3:6" ht="15.75" x14ac:dyDescent="0.25">
      <c r="F39" s="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 x14ac:dyDescent="0.25"/>
  <cols>
    <col min="1" max="1" width="28.7109375" customWidth="1"/>
    <col min="2" max="26" width="17.7109375" customWidth="1"/>
  </cols>
  <sheetData>
    <row r="1" spans="1:4" ht="18.75" x14ac:dyDescent="0.3">
      <c r="A1" s="1" t="s">
        <v>62</v>
      </c>
    </row>
    <row r="3" spans="1:4" ht="15.75" x14ac:dyDescent="0.25">
      <c r="A3" s="2" t="s">
        <v>63</v>
      </c>
    </row>
    <row r="4" spans="1:4" ht="15.75" x14ac:dyDescent="0.25">
      <c r="B4" s="2" t="s">
        <v>64</v>
      </c>
      <c r="C4" s="2" t="s">
        <v>65</v>
      </c>
      <c r="D4" s="2" t="s">
        <v>66</v>
      </c>
    </row>
    <row r="6" spans="1:4" ht="15.75" x14ac:dyDescent="0.25">
      <c r="A6" s="2" t="s">
        <v>67</v>
      </c>
      <c r="B6" s="6">
        <f>(Projections!B10/(1+0.13)^1 + Projections!C10/(1+0.13)^2 + Projections!D10/(1+0.13)^3 + Projections!E10/(1+0.13)^4 + Projections!F10/(1+0.13)^5 + (Projections!F10*(1+0.02)/(0.13-0.02))/(1+0.13)^5 + Assumptions!B28) / Assumptions!B29</f>
        <v>48.806337068310164</v>
      </c>
      <c r="C6" s="6">
        <f>(Projections!B10/(1+0.13)^1 + Projections!C10/(1+0.13)^2 + Projections!D10/(1+0.13)^3 + Projections!E10/(1+0.13)^4 + Projections!F10/(1+0.13)^5 + (Projections!F10*(1+0.03)/(0.13-0.03))/(1+0.13)^5 + Assumptions!B28) / Assumptions!B29</f>
        <v>51.872784294770824</v>
      </c>
      <c r="D6" s="6">
        <f>(Projections!B10/(1+0.13)^1 + Projections!C10/(1+0.13)^2 + Projections!D10/(1+0.13)^3 + Projections!E10/(1+0.13)^4 + Projections!F10/(1+0.13)^5 + (Projections!F10*(1+0.04)/(0.13-0.04))/(1+0.13)^5 + Assumptions!B28) / Assumptions!B29</f>
        <v>55.620664238222759</v>
      </c>
    </row>
    <row r="7" spans="1:4" ht="15.75" x14ac:dyDescent="0.25">
      <c r="A7" s="2" t="s">
        <v>68</v>
      </c>
      <c r="B7" s="6">
        <f>(Projections!B10/(1+0.14)^1 + Projections!C10/(1+0.14)^2 + Projections!D10/(1+0.14)^3 + Projections!E10/(1+0.14)^4 + Projections!F10/(1+0.14)^5 + (Projections!F10*(1+0.02)/(0.14-0.02))/(1+0.14)^5 + Assumptions!B28) / Assumptions!B29</f>
        <v>44.935521051817133</v>
      </c>
      <c r="C7" s="6">
        <f>(Projections!B10/(1+0.14)^1 + Projections!C10/(1+0.14)^2 + Projections!D10/(1+0.14)^3 + Projections!E10/(1+0.14)^4 + Projections!F10/(1+0.14)^5 + (Projections!F10*(1+0.03)/(0.14-0.03))/(1+0.14)^5 + Assumptions!B28) / Assumptions!B29</f>
        <v>47.402404422629246</v>
      </c>
      <c r="D7" s="6">
        <f>(Projections!B10/(1+0.14)^1 + Projections!C10/(1+0.14)^2 + Projections!D10/(1+0.14)^3 + Projections!E10/(1+0.14)^4 + Projections!F10/(1+0.14)^5 + (Projections!F10*(1+0.04)/(0.14-0.04))/(1+0.14)^5 + Assumptions!B28) / Assumptions!B29</f>
        <v>50.362664467603786</v>
      </c>
    </row>
    <row r="8" spans="1:4" ht="15.75" x14ac:dyDescent="0.25">
      <c r="A8" s="2" t="s">
        <v>69</v>
      </c>
      <c r="B8" s="6">
        <f>(Projections!B10/(1+0.15)^1 + Projections!C10/(1+0.15)^2 + Projections!D10/(1+0.15)^3 + Projections!E10/(1+0.15)^4 + Projections!F10/(1+0.15)^5 + (Projections!F10*(1+0.02)/(0.15-0.02))/(1+0.15)^5 + Assumptions!B28) / Assumptions!B29</f>
        <v>41.657766783937426</v>
      </c>
      <c r="C8" s="6">
        <f>(Projections!B10/(1+0.15)^1 + Projections!C10/(1+0.15)^2 + Projections!D10/(1+0.15)^3 + Projections!E10/(1+0.15)^4 + Projections!F10/(1+0.15)^5 + (Projections!F10*(1+0.03)/(0.15-0.03))/(1+0.15)^5 + Assumptions!B28) / Assumptions!B29</f>
        <v>43.673467240624234</v>
      </c>
      <c r="D8" s="6">
        <f>(Projections!B10/(1+0.15)^1 + Projections!C10/(1+0.15)^2 + Projections!D10/(1+0.15)^3 + Projections!E10/(1+0.15)^4 + Projections!F10/(1+0.15)^5 + (Projections!F10*(1+0.04)/(0.15-0.04))/(1+0.15)^5 + Assumptions!B28) / Assumptions!B29</f>
        <v>46.055658689435909</v>
      </c>
    </row>
    <row r="9" spans="1:4" ht="15.75" x14ac:dyDescent="0.25">
      <c r="A9" s="2" t="s">
        <v>70</v>
      </c>
      <c r="B9" s="6">
        <f>(Projections!B10/(1+0.16)^1 + Projections!C10/(1+0.16)^2 + Projections!D10/(1+0.16)^3 + Projections!E10/(1+0.16)^4 + Projections!F10/(1+0.16)^5 + (Projections!F10*(1+0.02)/(0.16-0.02))/(1+0.16)^5 + Assumptions!B28) / Assumptions!B29</f>
        <v>38.846136418115421</v>
      </c>
      <c r="C9" s="6">
        <f>(Projections!B10/(1+0.16)^1 + Projections!C10/(1+0.16)^2 + Projections!D10/(1+0.16)^3 + Projections!E10/(1+0.16)^4 + Projections!F10/(1+0.16)^5 + (Projections!F10*(1+0.03)/(0.16-0.03))/(1+0.16)^5 + Assumptions!B28) / Assumptions!B29</f>
        <v>40.515068292089992</v>
      </c>
      <c r="D9" s="6">
        <f>(Projections!B10/(1+0.16)^1 + Projections!C10/(1+0.16)^2 + Projections!D10/(1+0.16)^3 + Projections!E10/(1+0.16)^4 + Projections!F10/(1+0.16)^5 + (Projections!F10*(1+0.04)/(0.16-0.04))/(1+0.16)^5 + Assumptions!B28) / Assumptions!B29</f>
        <v>42.462155478393655</v>
      </c>
    </row>
    <row r="13" spans="1:4" ht="15.75" x14ac:dyDescent="0.25">
      <c r="A13" s="2" t="s">
        <v>71</v>
      </c>
    </row>
    <row r="14" spans="1:4" ht="15.75" x14ac:dyDescent="0.25">
      <c r="B14" s="2" t="s">
        <v>72</v>
      </c>
      <c r="C14" s="2" t="s">
        <v>73</v>
      </c>
      <c r="D14" s="2" t="s">
        <v>74</v>
      </c>
    </row>
    <row r="15" spans="1:4" ht="15.75" x14ac:dyDescent="0.25">
      <c r="A15" s="2" t="s">
        <v>67</v>
      </c>
      <c r="B15" s="6">
        <f>(Projections!B10/(1+0.13)^1 + Projections!C10/(1+0.13)^2 + Projections!D10/(1+0.13)^3 + Projections!E10/(1+0.13)^4 + Projections!F10/(1+0.13)^5 + (Projections!F11*30)/(1+0.13)^5 + Assumptions!B28) / Assumptions!B29</f>
        <v>117.76649427635178</v>
      </c>
      <c r="C15" s="6">
        <f>(Projections!B10/(1+0.13)^1 + Projections!C10/(1+0.13)^2 + Projections!D10/(1+0.13)^3 + Projections!E10/(1+0.13)^4 + Projections!F10/(1+0.13)^5 + (Projections!F11*35)/(1+0.13)^5 + Assumptions!B28) / Assumptions!B29</f>
        <v>133.87309300127598</v>
      </c>
      <c r="D15" s="6">
        <f>(Projections!B10/(1+0.13)^1 + Projections!C10/(1+0.13)^2 + Projections!D10/(1+0.13)^3 + Projections!E10/(1+0.13)^4 + Projections!F10/(1+0.13)^5 + (Projections!F11*40)/(1+0.13)^5 + Assumptions!B28) / Assumptions!B29</f>
        <v>149.97969172620014</v>
      </c>
    </row>
    <row r="16" spans="1:4" ht="15.75" x14ac:dyDescent="0.25">
      <c r="A16" s="2" t="s">
        <v>68</v>
      </c>
      <c r="B16" s="6">
        <f>(Projections!B10/(1+0.14)^1 + Projections!C10/(1+0.14)^2 + Projections!D10/(1+0.14)^3 + Projections!E10/(1+0.14)^4 + Projections!F10/(1+0.14)^5 + (Projections!F11*30)/(1+0.14)^5 + Assumptions!B28) / Assumptions!B29</f>
        <v>113.13092057652979</v>
      </c>
      <c r="C16" s="6">
        <f>(Projections!B10/(1+0.14)^1 + Projections!C10/(1+0.14)^2 + Projections!D10/(1+0.14)^3 + Projections!E10/(1+0.14)^4 + Projections!F10/(1+0.14)^5 + (Projections!F11*35)/(1+0.14)^5 + Assumptions!B28) / Assumptions!B29</f>
        <v>128.54337479855968</v>
      </c>
      <c r="D16" s="6">
        <f>(Projections!B10/(1+0.14)^1 + Projections!C10/(1+0.14)^2 + Projections!D10/(1+0.14)^3 + Projections!E10/(1+0.14)^4 + Projections!F10/(1+0.14)^5 + (Projections!F11*40)/(1+0.14)^5 + Assumptions!B28) / Assumptions!B29</f>
        <v>143.95582902058956</v>
      </c>
    </row>
    <row r="17" spans="1:4" ht="15.75" x14ac:dyDescent="0.25">
      <c r="A17" s="2" t="s">
        <v>69</v>
      </c>
      <c r="B17" s="6">
        <f>(Projections!B10/(1+0.15)^1 + Projections!C10/(1+0.15)^2 + Projections!D10/(1+0.15)^3 + Projections!E10/(1+0.15)^4 + Projections!F10/(1+0.15)^5 + (Projections!F11*30)/(1+0.15)^5 + Assumptions!B28) / Assumptions!B29</f>
        <v>108.72710667376563</v>
      </c>
      <c r="C17" s="6">
        <f>(Projections!B10/(1+0.15)^1 + Projections!C10/(1+0.15)^2 + Projections!D10/(1+0.15)^3 + Projections!E10/(1+0.15)^4 + Projections!F10/(1+0.15)^5 + (Projections!F11*35)/(1+0.15)^5 + Assumptions!B28) / Assumptions!B29</f>
        <v>123.48100732059882</v>
      </c>
      <c r="D17" s="6">
        <f>(Projections!B10/(1+0.15)^1 + Projections!C10/(1+0.15)^2 + Projections!D10/(1+0.15)^3 + Projections!E10/(1+0.15)^4 + Projections!F10/(1+0.15)^5 + (Projections!F11*40)/(1+0.15)^5 + Assumptions!B28) / Assumptions!B29</f>
        <v>138.23490796743198</v>
      </c>
    </row>
    <row r="18" spans="1:4" ht="15.75" x14ac:dyDescent="0.25">
      <c r="A18" s="2" t="s">
        <v>70</v>
      </c>
      <c r="B18" s="6">
        <f>(Projections!B10/(1+0.16)^1 + Projections!C10/(1+0.16)^2 + Projections!D10/(1+0.16)^3 + Projections!E10/(1+0.16)^4 + Projections!F10/(1+0.16)^5 + (Projections!F11*30)/(1+0.16)^5 + Assumptions!B28) / Assumptions!B29</f>
        <v>104.54148115594997</v>
      </c>
      <c r="C18" s="6">
        <f>(Projections!B10/(1+0.16)^1 + Projections!C10/(1+0.16)^2 + Projections!D10/(1+0.16)^3 + Projections!E10/(1+0.16)^4 + Projections!F10/(1+0.16)^5 + (Projections!F11*35)/(1+0.16)^5 + Assumptions!B28) / Assumptions!B29</f>
        <v>118.67030824571879</v>
      </c>
      <c r="D18" s="6">
        <f>(Projections!B10/(1+0.16)^1 + Projections!C10/(1+0.16)^2 + Projections!D10/(1+0.16)^3 + Projections!E10/(1+0.16)^4 + Projections!F10/(1+0.16)^5 + (Projections!F11*40)/(1+0.16)^5 + Assumptions!B28) / Assumptions!B29</f>
        <v>132.79913533548759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28.7109375" customWidth="1"/>
    <col min="2" max="26" width="17.7109375" customWidth="1"/>
  </cols>
  <sheetData>
    <row r="1" spans="1:1" ht="18.75" x14ac:dyDescent="0.3">
      <c r="A1" s="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Historical Data</vt:lpstr>
      <vt:lpstr>Projections</vt:lpstr>
      <vt:lpstr>DCF</vt:lpstr>
      <vt:lpstr>Sensitivity</vt:lpstr>
      <vt:lpstr>Charts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2025-12-01T06:52:30Z</dcterms:created>
  <dcterms:modified xsi:type="dcterms:W3CDTF">2026-01-22T05:32:31Z</dcterms:modified>
</cp:coreProperties>
</file>